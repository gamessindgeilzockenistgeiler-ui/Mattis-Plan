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Master_Essensplan_1800" sheetId="1" state="visible" r:id="rId1"/>
    <sheet xmlns:r="http://schemas.openxmlformats.org/officeDocument/2006/relationships" name="02_Hantel_Split_und_KungFu" sheetId="2" state="visible" r:id="rId2"/>
    <sheet xmlns:r="http://schemas.openxmlformats.org/officeDocument/2006/relationships" name="03_Gewicht_und_Kraft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475569"/>
      <sz val="10"/>
    </font>
    <font>
      <name val="Segoe UI"/>
      <b val="1"/>
      <color rgb="00F1F5F9"/>
      <sz val="10"/>
    </font>
    <font>
      <name val="Segoe UI"/>
      <color rgb="000F172A"/>
      <sz val="10"/>
    </font>
    <font>
      <name val="Segoe U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1151F"/>
        <bgColor rgb="0011151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38" customWidth="1" min="2" max="2"/>
    <col width="16" customWidth="1" min="3" max="3"/>
    <col width="15" customWidth="1" min="4" max="4"/>
    <col width="18" customWidth="1" min="5" max="5"/>
    <col width="16" customWidth="1" min="6" max="6"/>
    <col width="15" customWidth="1" min="7" max="7"/>
    <col width="26" customWidth="1" min="8" max="8"/>
    <col width="27" customWidth="1" min="9" max="9"/>
    <col width="26" customWidth="1" min="10" max="10"/>
    <col width="26" customWidth="1" min="11" max="11"/>
  </cols>
  <sheetData>
    <row r="1">
      <c r="A1" s="1" t="inlineStr">
        <is>
          <t>ROAD TO SHREDDED // MASTER-ESSENSPLAN (~1.800 KCAL) &amp; REZEPT-RECHNER</t>
        </is>
      </c>
    </row>
    <row r="2">
      <c r="A2" s="2" t="inlineStr">
        <is>
          <t>Athlet: 13 Jahre | 1.70 m | 62.0 kg (BMI 21.45) | Ziel-Protein: ~124–140 g pro Tag</t>
        </is>
      </c>
    </row>
    <row r="3"/>
    <row r="4">
      <c r="A4" s="3" t="inlineStr">
        <is>
          <t>Mahlzeit / Option</t>
        </is>
      </c>
      <c r="B4" s="3" t="inlineStr">
        <is>
          <t>Zutat</t>
        </is>
      </c>
      <c r="C4" s="3" t="inlineStr">
        <is>
          <t>Menge (g/ml)</t>
        </is>
      </c>
      <c r="D4" s="3" t="inlineStr">
        <is>
          <t>kcal / 100g</t>
        </is>
      </c>
      <c r="E4" s="3" t="inlineStr">
        <is>
          <t>Protein / 100g</t>
        </is>
      </c>
      <c r="F4" s="3" t="inlineStr">
        <is>
          <t>Carbs / 100g</t>
        </is>
      </c>
      <c r="G4" s="3" t="inlineStr">
        <is>
          <t>Fett / 100g</t>
        </is>
      </c>
      <c r="H4" s="3" t="inlineStr">
        <is>
          <t>Berechnete kcal</t>
        </is>
      </c>
      <c r="I4" s="3" t="inlineStr">
        <is>
          <t>Berechnetes Protein (g)</t>
        </is>
      </c>
      <c r="J4" s="3" t="inlineStr">
        <is>
          <t>Berechnete Carbs (g)</t>
        </is>
      </c>
      <c r="K4" s="3" t="inlineStr">
        <is>
          <t>Berechnetes Fett (g)</t>
        </is>
      </c>
    </row>
    <row r="5">
      <c r="A5" s="4" t="inlineStr">
        <is>
          <t>Frühstück Option A</t>
        </is>
      </c>
      <c r="B5" s="4" t="inlineStr">
        <is>
          <t>4 Eier (Rührei/Spiegelei/gekocht)</t>
        </is>
      </c>
      <c r="C5" s="5" t="n">
        <v>240</v>
      </c>
      <c r="D5" s="5" t="n">
        <v>155</v>
      </c>
      <c r="E5" s="5" t="n">
        <v>13</v>
      </c>
      <c r="F5" s="5" t="n">
        <v>1.1</v>
      </c>
      <c r="G5" s="5" t="n">
        <v>11</v>
      </c>
      <c r="H5" s="5">
        <f>ROUND(C5*D5/100,0)</f>
        <v/>
      </c>
      <c r="I5" s="5">
        <f>ROUND(C5*E5/100,1)</f>
        <v/>
      </c>
      <c r="J5" s="5">
        <f>ROUND(C5*F5/100,1)</f>
        <v/>
      </c>
      <c r="K5" s="5">
        <f>ROUND(C5*G5/100,1)</f>
        <v/>
      </c>
    </row>
    <row r="6">
      <c r="A6" s="4" t="inlineStr">
        <is>
          <t>Frühstück Option A</t>
        </is>
      </c>
      <c r="B6" s="4" t="inlineStr">
        <is>
          <t>2 Scheiben Dinkel-Toast</t>
        </is>
      </c>
      <c r="C6" s="5" t="n">
        <v>60</v>
      </c>
      <c r="D6" s="5" t="n">
        <v>265</v>
      </c>
      <c r="E6" s="5" t="n">
        <v>9.5</v>
      </c>
      <c r="F6" s="5" t="n">
        <v>49</v>
      </c>
      <c r="G6" s="5" t="n">
        <v>3</v>
      </c>
      <c r="H6" s="5">
        <f>ROUND(C6*D6/100,0)</f>
        <v/>
      </c>
      <c r="I6" s="5">
        <f>ROUND(C6*E6/100,1)</f>
        <v/>
      </c>
      <c r="J6" s="5">
        <f>ROUND(C6*F6/100,1)</f>
        <v/>
      </c>
      <c r="K6" s="5">
        <f>ROUND(C6*G6/100,1)</f>
        <v/>
      </c>
    </row>
    <row r="7">
      <c r="A7" s="4" t="inlineStr">
        <is>
          <t>Frühstück Option B (Alternativ)</t>
        </is>
      </c>
      <c r="B7" s="4" t="inlineStr">
        <is>
          <t>Haferflocken (Porridge)</t>
        </is>
      </c>
      <c r="C7" s="5" t="n">
        <v>80</v>
      </c>
      <c r="D7" s="5" t="n">
        <v>370</v>
      </c>
      <c r="E7" s="5" t="n">
        <v>13.5</v>
      </c>
      <c r="F7" s="5" t="n">
        <v>58.7</v>
      </c>
      <c r="G7" s="5" t="n">
        <v>7</v>
      </c>
      <c r="H7" s="5">
        <f>ROUND(C7*D7/100,0)</f>
        <v/>
      </c>
      <c r="I7" s="5">
        <f>ROUND(C7*E7/100,1)</f>
        <v/>
      </c>
      <c r="J7" s="5">
        <f>ROUND(C7*F7/100,1)</f>
        <v/>
      </c>
      <c r="K7" s="5">
        <f>ROUND(C7*G7/100,1)</f>
        <v/>
      </c>
    </row>
    <row r="8">
      <c r="A8" s="4" t="inlineStr">
        <is>
          <t>Frühstück Option B (Alternativ)</t>
        </is>
      </c>
      <c r="B8" s="4" t="inlineStr">
        <is>
          <t>Ungesüßter Mandeldrink</t>
        </is>
      </c>
      <c r="C8" s="5" t="n">
        <v>250</v>
      </c>
      <c r="D8" s="5" t="n">
        <v>13</v>
      </c>
      <c r="E8" s="5" t="n">
        <v>0.4</v>
      </c>
      <c r="F8" s="5" t="n">
        <v>0.1</v>
      </c>
      <c r="G8" s="5" t="n">
        <v>1.1</v>
      </c>
      <c r="H8" s="5">
        <f>ROUND(C8*D8/100,0)</f>
        <v/>
      </c>
      <c r="I8" s="5">
        <f>ROUND(C8*E8/100,1)</f>
        <v/>
      </c>
      <c r="J8" s="5">
        <f>ROUND(C8*F8/100,1)</f>
        <v/>
      </c>
      <c r="K8" s="5">
        <f>ROUND(C8*G8/100,1)</f>
        <v/>
      </c>
    </row>
    <row r="9">
      <c r="A9" s="4" t="inlineStr">
        <is>
          <t>Frühstück Option B (Protein-Boost)</t>
        </is>
      </c>
      <c r="B9" s="4" t="inlineStr">
        <is>
          <t>Skyr / Magerquark zum Porridge</t>
        </is>
      </c>
      <c r="C9" s="5" t="n">
        <v>200</v>
      </c>
      <c r="D9" s="5" t="n">
        <v>65</v>
      </c>
      <c r="E9" s="5" t="n">
        <v>11.5</v>
      </c>
      <c r="F9" s="5" t="n">
        <v>4</v>
      </c>
      <c r="G9" s="5" t="n">
        <v>0.2</v>
      </c>
      <c r="H9" s="5">
        <f>ROUND(C9*D9/100,0)</f>
        <v/>
      </c>
      <c r="I9" s="5">
        <f>ROUND(C9*E9/100,1)</f>
        <v/>
      </c>
      <c r="J9" s="5">
        <f>ROUND(C9*F9/100,1)</f>
        <v/>
      </c>
      <c r="K9" s="5">
        <f>ROUND(C9*G9/100,1)</f>
        <v/>
      </c>
    </row>
    <row r="10">
      <c r="A10" s="4" t="inlineStr">
        <is>
          <t>Mittagessen (Option A: Hähnchen)</t>
        </is>
      </c>
      <c r="B10" s="4" t="inlineStr">
        <is>
          <t>1 volle Hähnchenbrust (Paprika/Knoblauch)</t>
        </is>
      </c>
      <c r="C10" s="5" t="n">
        <v>200</v>
      </c>
      <c r="D10" s="5" t="n">
        <v>110</v>
      </c>
      <c r="E10" s="5" t="n">
        <v>23</v>
      </c>
      <c r="F10" s="5" t="n">
        <v>0</v>
      </c>
      <c r="G10" s="5" t="n">
        <v>1.5</v>
      </c>
      <c r="H10" s="5">
        <f>ROUND(C10*D10/100,0)</f>
        <v/>
      </c>
      <c r="I10" s="5">
        <f>ROUND(C10*E10/100,1)</f>
        <v/>
      </c>
      <c r="J10" s="5">
        <f>ROUND(C10*F10/100,1)</f>
        <v/>
      </c>
      <c r="K10" s="5">
        <f>ROUND(C10*G10/100,1)</f>
        <v/>
      </c>
    </row>
    <row r="11">
      <c r="A11" s="4" t="inlineStr">
        <is>
          <t>Mittagessen (Option A: Hähnchen)</t>
        </is>
      </c>
      <c r="B11" s="4" t="inlineStr">
        <is>
          <t>Portion Reis (Trockengewicht)</t>
        </is>
      </c>
      <c r="C11" s="5" t="n">
        <v>100</v>
      </c>
      <c r="D11" s="5" t="n">
        <v>350</v>
      </c>
      <c r="E11" s="5" t="n">
        <v>7.5</v>
      </c>
      <c r="F11" s="5" t="n">
        <v>77</v>
      </c>
      <c r="G11" s="5" t="n">
        <v>1</v>
      </c>
      <c r="H11" s="5">
        <f>ROUND(C11*D11/100,0)</f>
        <v/>
      </c>
      <c r="I11" s="5">
        <f>ROUND(C11*E11/100,1)</f>
        <v/>
      </c>
      <c r="J11" s="5">
        <f>ROUND(C11*F11/100,1)</f>
        <v/>
      </c>
      <c r="K11" s="5">
        <f>ROUND(C11*G11/100,1)</f>
        <v/>
      </c>
    </row>
    <row r="12">
      <c r="A12" s="4" t="inlineStr">
        <is>
          <t>Abendessen (Option B: Rind)</t>
        </is>
      </c>
      <c r="B12" s="4" t="inlineStr">
        <is>
          <t>Mageres Rindfleisch / Tatar</t>
        </is>
      </c>
      <c r="C12" s="5" t="n">
        <v>200</v>
      </c>
      <c r="D12" s="5" t="n">
        <v>125</v>
      </c>
      <c r="E12" s="5" t="n">
        <v>21</v>
      </c>
      <c r="F12" s="5" t="n">
        <v>0</v>
      </c>
      <c r="G12" s="5" t="n">
        <v>4.5</v>
      </c>
      <c r="H12" s="5">
        <f>ROUND(C12*D12/100,0)</f>
        <v/>
      </c>
      <c r="I12" s="5">
        <f>ROUND(C12*E12/100,1)</f>
        <v/>
      </c>
      <c r="J12" s="5">
        <f>ROUND(C12*F12/100,1)</f>
        <v/>
      </c>
      <c r="K12" s="5">
        <f>ROUND(C12*G12/100,1)</f>
        <v/>
      </c>
    </row>
    <row r="13">
      <c r="A13" s="4" t="inlineStr">
        <is>
          <t>Abendessen (Option B: Rind)</t>
        </is>
      </c>
      <c r="B13" s="4" t="inlineStr">
        <is>
          <t>Portion Reis (Trockengewicht)</t>
        </is>
      </c>
      <c r="C13" s="5" t="n">
        <v>100</v>
      </c>
      <c r="D13" s="5" t="n">
        <v>350</v>
      </c>
      <c r="E13" s="5" t="n">
        <v>7.5</v>
      </c>
      <c r="F13" s="5" t="n">
        <v>77</v>
      </c>
      <c r="G13" s="5" t="n">
        <v>1</v>
      </c>
      <c r="H13" s="5">
        <f>ROUND(C13*D13/100,0)</f>
        <v/>
      </c>
      <c r="I13" s="5">
        <f>ROUND(C13*E13/100,1)</f>
        <v/>
      </c>
      <c r="J13" s="5">
        <f>ROUND(C13*F13/100,1)</f>
        <v/>
      </c>
      <c r="K13" s="5">
        <f>ROUND(C13*G13/100,1)</f>
        <v/>
      </c>
    </row>
    <row r="14">
      <c r="A14" s="6" t="inlineStr">
        <is>
          <t>TAGES-SUMME (Frühstück A + Mittag A + Abend B)</t>
        </is>
      </c>
      <c r="B14" s="6" t="inlineStr">
        <is>
          <t>Punktlandung Road to Shredded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>
        <f>H5+H6+H10+H11+H12+H13</f>
        <v/>
      </c>
      <c r="I14" s="7">
        <f>I5+I6+I10+I11+I12+I13</f>
        <v/>
      </c>
      <c r="J14" s="7">
        <f>J5+J6+J10+J11+J12+J13</f>
        <v/>
      </c>
      <c r="K14" s="7">
        <f>K5+K6+K10+K11+K12+K13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35" customWidth="1" min="2" max="2"/>
    <col width="38" customWidth="1" min="3" max="3"/>
    <col width="14" customWidth="1" min="4" max="4"/>
    <col width="18" customWidth="1" min="5" max="5"/>
    <col width="22" customWidth="1" min="6" max="6"/>
    <col width="38" customWidth="1" min="7" max="7"/>
  </cols>
  <sheetData>
    <row r="1">
      <c r="A1" s="1" t="inlineStr">
        <is>
          <t>WOCHEN-SPLIT // HANTEL-HYPERTROPHIE &amp; KUNG FU</t>
        </is>
      </c>
    </row>
    <row r="2">
      <c r="A2" s="2" t="inlineStr">
        <is>
          <t>Exakt abgestimmt auf deine Übungen (Incline DB Bench, Seated DB Press, Sitting Leg Lift, Hammer Curls &amp; Kung Fu)</t>
        </is>
      </c>
    </row>
    <row r="3"/>
    <row r="4">
      <c r="A4" s="8" t="inlineStr">
        <is>
          <t>Wochentag</t>
        </is>
      </c>
      <c r="B4" s="8" t="inlineStr">
        <is>
          <t>Fokus / Einheit</t>
        </is>
      </c>
      <c r="C4" s="8" t="inlineStr">
        <is>
          <t>Übung</t>
        </is>
      </c>
      <c r="D4" s="8" t="inlineStr">
        <is>
          <t>Sätze</t>
        </is>
      </c>
      <c r="E4" s="8" t="inlineStr">
        <is>
          <t>Wiederholungen</t>
        </is>
      </c>
      <c r="F4" s="8" t="inlineStr">
        <is>
          <t>Start-Gewicht (kg)</t>
        </is>
      </c>
      <c r="G4" s="8" t="inlineStr">
        <is>
          <t>Ziel / Technik-Fokus</t>
        </is>
      </c>
    </row>
    <row r="5">
      <c r="A5" s="9" t="inlineStr">
        <is>
          <t>Montag</t>
        </is>
      </c>
      <c r="B5" s="9" t="inlineStr">
        <is>
          <t>HANTEL-BOOST + KUNG FU (Teil 1)</t>
        </is>
      </c>
      <c r="C5" s="9" t="inlineStr">
        <is>
          <t>Incline Dumbbell Bench Press (Schrägbank)</t>
        </is>
      </c>
      <c r="D5" s="9" t="n">
        <v>3</v>
      </c>
      <c r="E5" s="9" t="inlineStr">
        <is>
          <t>12–15</t>
        </is>
      </c>
      <c r="F5" s="9" t="n">
        <v>10</v>
      </c>
      <c r="G5" s="9" t="inlineStr">
        <is>
          <t>Obere Brust voll ansteuern</t>
        </is>
      </c>
    </row>
    <row r="6">
      <c r="A6" s="9" t="inlineStr">
        <is>
          <t>Montag</t>
        </is>
      </c>
      <c r="B6" s="9" t="inlineStr">
        <is>
          <t>HANTEL-BOOST + KUNG FU (Teil 1)</t>
        </is>
      </c>
      <c r="C6" s="9" t="inlineStr">
        <is>
          <t>Seated Dumbbell Press (Schulterdrücken)</t>
        </is>
      </c>
      <c r="D6" s="9" t="n">
        <v>2</v>
      </c>
      <c r="E6" s="9" t="inlineStr">
        <is>
          <t>12–15</t>
        </is>
      </c>
      <c r="F6" s="9" t="n">
        <v>8</v>
      </c>
      <c r="G6" s="9" t="inlineStr">
        <is>
          <t>Rumpf stabil, kein Hohlkreuz</t>
        </is>
      </c>
    </row>
    <row r="7">
      <c r="A7" s="9" t="inlineStr">
        <is>
          <t>Montag</t>
        </is>
      </c>
      <c r="B7" s="9" t="inlineStr">
        <is>
          <t>HANTEL-BOOST + KUNG FU (Teil 1)</t>
        </is>
      </c>
      <c r="C7" s="9" t="inlineStr">
        <is>
          <t>Sitting Leg Lift (Bauch)</t>
        </is>
      </c>
      <c r="D7" s="9" t="n">
        <v>3</v>
      </c>
      <c r="E7" s="9" t="inlineStr">
        <is>
          <t>15–20</t>
        </is>
      </c>
      <c r="F7" s="9" t="n">
        <v>0</v>
      </c>
      <c r="G7" s="9" t="inlineStr">
        <is>
          <t>Beine kontrolliert heben ohne Schwung</t>
        </is>
      </c>
    </row>
    <row r="8">
      <c r="A8" s="9" t="inlineStr">
        <is>
          <t>Montag</t>
        </is>
      </c>
      <c r="B8" s="9" t="inlineStr">
        <is>
          <t>Abends: Kampfsport</t>
        </is>
      </c>
      <c r="C8" s="9" t="inlineStr">
        <is>
          <t>🥋 Kung Fu Training</t>
        </is>
      </c>
      <c r="D8" s="9" t="n">
        <v>1</v>
      </c>
      <c r="E8" s="9" t="inlineStr">
        <is>
          <t>60–90 Min</t>
        </is>
      </c>
      <c r="F8" s="9" t="n">
        <v>0</v>
      </c>
      <c r="G8" s="9" t="inlineStr">
        <is>
          <t>Technik, Speed &amp; Conditioning</t>
        </is>
      </c>
    </row>
    <row r="9">
      <c r="A9" s="9" t="inlineStr">
        <is>
          <t>Dienstag</t>
        </is>
      </c>
      <c r="B9" s="9" t="inlineStr">
        <is>
          <t>PUSH (Brust, Schulter, Trizeps)</t>
        </is>
      </c>
      <c r="C9" s="9" t="inlineStr">
        <is>
          <t>Incline Dumbbell Bench Press</t>
        </is>
      </c>
      <c r="D9" s="9" t="n">
        <v>3</v>
      </c>
      <c r="E9" s="9" t="inlineStr">
        <is>
          <t>12–15</t>
        </is>
      </c>
      <c r="F9" s="9" t="n">
        <v>10</v>
      </c>
      <c r="G9" s="9" t="inlineStr">
        <is>
          <t>Saubere Dehnung unten</t>
        </is>
      </c>
    </row>
    <row r="10">
      <c r="A10" s="9" t="inlineStr">
        <is>
          <t>Dienstag</t>
        </is>
      </c>
      <c r="B10" s="9" t="inlineStr">
        <is>
          <t>PUSH (Brust, Schulter, Trizeps)</t>
        </is>
      </c>
      <c r="C10" s="9" t="inlineStr">
        <is>
          <t>Dumbbell Bench Press (Flachbank)</t>
        </is>
      </c>
      <c r="D10" s="9" t="n">
        <v>2</v>
      </c>
      <c r="E10" s="9" t="inlineStr">
        <is>
          <t>12–15</t>
        </is>
      </c>
      <c r="F10" s="9" t="n">
        <v>10</v>
      </c>
      <c r="G10" s="9" t="inlineStr">
        <is>
          <t>Volle Brust-Kontraktion</t>
        </is>
      </c>
    </row>
    <row r="11">
      <c r="A11" s="9" t="inlineStr">
        <is>
          <t>Dienstag</t>
        </is>
      </c>
      <c r="B11" s="9" t="inlineStr">
        <is>
          <t>PUSH (Brust, Schulter, Trizeps)</t>
        </is>
      </c>
      <c r="C11" s="9" t="inlineStr">
        <is>
          <t>Seated Dumbbell Press</t>
        </is>
      </c>
      <c r="D11" s="9" t="n">
        <v>3</v>
      </c>
      <c r="E11" s="9" t="inlineStr">
        <is>
          <t>12–15</t>
        </is>
      </c>
      <c r="F11" s="9" t="n">
        <v>8</v>
      </c>
      <c r="G11" s="9" t="inlineStr">
        <is>
          <t>Schulter-Kanonenkugeln aufbauen</t>
        </is>
      </c>
    </row>
    <row r="12">
      <c r="A12" s="9" t="inlineStr">
        <is>
          <t>Dienstag</t>
        </is>
      </c>
      <c r="B12" s="9" t="inlineStr">
        <is>
          <t>PUSH (Brust, Schulter, Trizeps)</t>
        </is>
      </c>
      <c r="C12" s="9" t="inlineStr">
        <is>
          <t>Trizeps Extension (Über Kopf)</t>
        </is>
      </c>
      <c r="D12" s="9" t="n">
        <v>3</v>
      </c>
      <c r="E12" s="9" t="inlineStr">
        <is>
          <t>12–15</t>
        </is>
      </c>
      <c r="F12" s="9" t="n">
        <v>8</v>
      </c>
      <c r="G12" s="9" t="inlineStr">
        <is>
          <t>Ellenbogen eng am Kopf lassen</t>
        </is>
      </c>
    </row>
    <row r="13">
      <c r="A13" s="9" t="inlineStr">
        <is>
          <t>Mittwoch</t>
        </is>
      </c>
      <c r="B13" s="9" t="inlineStr">
        <is>
          <t>😴 PAUSE</t>
        </is>
      </c>
      <c r="C13" s="9" t="inlineStr">
        <is>
          <t>Regeneration &amp; Akkus aufladen</t>
        </is>
      </c>
      <c r="D13" s="9" t="inlineStr">
        <is>
          <t>-</t>
        </is>
      </c>
      <c r="E13" s="9" t="inlineStr">
        <is>
          <t>-</t>
        </is>
      </c>
      <c r="F13" s="9" t="inlineStr">
        <is>
          <t>-</t>
        </is>
      </c>
      <c r="G13" s="9" t="inlineStr">
        <is>
          <t>8–9h Schlaf, 124g+ Protein essen</t>
        </is>
      </c>
    </row>
    <row r="14">
      <c r="A14" s="9" t="inlineStr">
        <is>
          <t>Donnerstag</t>
        </is>
      </c>
      <c r="B14" s="9" t="inlineStr">
        <is>
          <t>PULL, BIZEPS &amp; KUNG FU (Teil 2)</t>
        </is>
      </c>
      <c r="C14" s="9" t="inlineStr">
        <is>
          <t>Dumbbell Hammer Curls</t>
        </is>
      </c>
      <c r="D14" s="9" t="n">
        <v>3</v>
      </c>
      <c r="E14" s="9" t="inlineStr">
        <is>
          <t>12–15</t>
        </is>
      </c>
      <c r="F14" s="9" t="n">
        <v>10</v>
      </c>
      <c r="G14" s="9" t="inlineStr">
        <is>
          <t>Für dicken Oberarm &amp; Unterarm-Power</t>
        </is>
      </c>
    </row>
    <row r="15">
      <c r="A15" s="9" t="inlineStr">
        <is>
          <t>Donnerstag</t>
        </is>
      </c>
      <c r="B15" s="9" t="inlineStr">
        <is>
          <t>PULL, BIZEPS &amp; KUNG FU (Teil 2)</t>
        </is>
      </c>
      <c r="C15" s="9" t="inlineStr">
        <is>
          <t>Dumbbell Bizeps Curls (Supiniert)</t>
        </is>
      </c>
      <c r="D15" s="9" t="n">
        <v>3</v>
      </c>
      <c r="E15" s="9" t="inlineStr">
        <is>
          <t>12–15</t>
        </is>
      </c>
      <c r="F15" s="9" t="n">
        <v>9</v>
      </c>
      <c r="G15" s="9" t="inlineStr">
        <is>
          <t>Oben kleinen Finger leicht eindrehen</t>
        </is>
      </c>
    </row>
    <row r="16">
      <c r="A16" s="9" t="inlineStr">
        <is>
          <t>Donnerstag</t>
        </is>
      </c>
      <c r="B16" s="9" t="inlineStr">
        <is>
          <t>PULL, BIZEPS &amp; KUNG FU (Teil 2)</t>
        </is>
      </c>
      <c r="C16" s="9" t="inlineStr">
        <is>
          <t>Einarmiges Kurzhantel-Rudern (Optionaler Rücken-Boost)</t>
        </is>
      </c>
      <c r="D16" s="9" t="n">
        <v>3</v>
      </c>
      <c r="E16" s="9" t="inlineStr">
        <is>
          <t>12–15</t>
        </is>
      </c>
      <c r="F16" s="9" t="n">
        <v>12</v>
      </c>
      <c r="G16" s="9" t="inlineStr">
        <is>
          <t>Schützt Schulter &amp; baut V-Kreuz auf</t>
        </is>
      </c>
    </row>
    <row r="17">
      <c r="A17" s="9" t="inlineStr">
        <is>
          <t>Donnerstag</t>
        </is>
      </c>
      <c r="B17" s="9" t="inlineStr">
        <is>
          <t>Abends: Kampfsport</t>
        </is>
      </c>
      <c r="C17" s="9" t="inlineStr">
        <is>
          <t>🥋 Kung Fu Training</t>
        </is>
      </c>
      <c r="D17" s="9" t="n">
        <v>1</v>
      </c>
      <c r="E17" s="9" t="inlineStr">
        <is>
          <t>60–90 Min</t>
        </is>
      </c>
      <c r="F17" s="9" t="n">
        <v>0</v>
      </c>
      <c r="G17" s="9" t="inlineStr">
        <is>
          <t>Explosivität &amp; Ausdauer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16" customWidth="1" min="2" max="2"/>
    <col width="14" customWidth="1" min="3" max="3"/>
    <col width="25" customWidth="1" min="4" max="4"/>
    <col width="25" customWidth="1" min="5" max="5"/>
    <col width="24" customWidth="1" min="6" max="6"/>
    <col width="21" customWidth="1" min="7" max="7"/>
    <col width="26" customWidth="1" min="8" max="8"/>
  </cols>
  <sheetData>
    <row r="1">
      <c r="A1" s="1" t="inlineStr">
        <is>
          <t>GEWICHTS- &amp; HANTEL-KRAFTVERLAUF (62.0 KG // 1.70 M)</t>
        </is>
      </c>
    </row>
    <row r="2">
      <c r="A2" s="2" t="inlineStr">
        <is>
          <t>Start-BMI: 21.45 | Ziel: Kraftwerte bei Incline Bench &amp; Hammer Curls kontinuierlich steigern</t>
        </is>
      </c>
    </row>
    <row r="3"/>
    <row r="4">
      <c r="A4" s="8" t="inlineStr">
        <is>
          <t>Datum</t>
        </is>
      </c>
      <c r="B4" s="8" t="inlineStr">
        <is>
          <t>Gewicht (kg)</t>
        </is>
      </c>
      <c r="C4" s="8" t="inlineStr">
        <is>
          <t>Größe (m)</t>
        </is>
      </c>
      <c r="D4" s="8" t="inlineStr">
        <is>
          <t>BMI (Formel)</t>
        </is>
      </c>
      <c r="E4" s="8" t="inlineStr">
        <is>
          <t>Incline DB Bench (kg)</t>
        </is>
      </c>
      <c r="F4" s="8" t="inlineStr">
        <is>
          <t>Seated DB Press (kg)</t>
        </is>
      </c>
      <c r="G4" s="8" t="inlineStr">
        <is>
          <t>Hammer Curls (kg)</t>
        </is>
      </c>
      <c r="H4" s="8" t="inlineStr">
        <is>
          <t>Sitting Leg Lift (Wdh)</t>
        </is>
      </c>
    </row>
    <row r="5">
      <c r="A5" s="7" t="inlineStr">
        <is>
          <t>2026-10-25</t>
        </is>
      </c>
      <c r="B5" s="7" t="n">
        <v>62</v>
      </c>
      <c r="C5" s="7" t="n">
        <v>1.7</v>
      </c>
      <c r="D5" s="7">
        <f>ROUND(B5/(C5*C5), 2)</f>
        <v/>
      </c>
      <c r="E5" s="7" t="n">
        <v>10</v>
      </c>
      <c r="F5" s="7" t="n">
        <v>8</v>
      </c>
      <c r="G5" s="7" t="n">
        <v>10</v>
      </c>
      <c r="H5" s="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2026-10-25T19:07:36Z</dcterms:created>
  <dcterms:modified xmlns:dcterms="http://purl.org/dc/terms/" xmlns:xsi="http://www.w3.org/2001/XMLSchema-instance" xsi:type="dcterms:W3CDTF">2026-10-25T19:07:36Z</dcterms:modified>
</cp:coreProperties>
</file>